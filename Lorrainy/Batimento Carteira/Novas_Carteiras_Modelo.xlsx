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balbino\Downloads\"/>
    </mc:Choice>
  </mc:AlternateContent>
  <xr:revisionPtr revIDLastSave="0" documentId="8_{5CCE273D-094A-4F42-AE5F-9529E3562C5D}" xr6:coauthVersionLast="47" xr6:coauthVersionMax="47" xr10:uidLastSave="{00000000-0000-0000-0000-000000000000}"/>
  <bookViews>
    <workbookView xWindow="-120" yWindow="-120" windowWidth="29040" windowHeight="15840" xr2:uid="{09E4AA19-9AF4-4F16-AF59-696FB110EE90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6" i="1" l="1"/>
  <c r="Q45" i="1"/>
  <c r="P45" i="1"/>
  <c r="P48" i="1" s="1"/>
  <c r="P47" i="1" s="1"/>
  <c r="O45" i="1"/>
  <c r="O48" i="1" s="1"/>
  <c r="O47" i="1" s="1"/>
  <c r="N45" i="1"/>
  <c r="N48" i="1" s="1"/>
  <c r="N47" i="1" s="1"/>
  <c r="M45" i="1"/>
  <c r="L45" i="1"/>
  <c r="K45" i="1"/>
  <c r="J45" i="1"/>
  <c r="J48" i="1" s="1"/>
  <c r="J47" i="1" s="1"/>
  <c r="I45" i="1"/>
  <c r="I48" i="1" s="1"/>
  <c r="I47" i="1" s="1"/>
  <c r="H45" i="1"/>
  <c r="H48" i="1" s="1"/>
  <c r="H47" i="1" s="1"/>
  <c r="G45" i="1"/>
  <c r="F45" i="1"/>
  <c r="E45" i="1"/>
  <c r="D45" i="1"/>
  <c r="D48" i="1" s="1"/>
  <c r="D47" i="1" s="1"/>
  <c r="C45" i="1"/>
  <c r="C48" i="1" s="1"/>
  <c r="C47" i="1" s="1"/>
  <c r="B45" i="1"/>
  <c r="B48" i="1" s="1"/>
  <c r="B47" i="1" s="1"/>
  <c r="A44" i="1"/>
  <c r="Q41" i="1"/>
  <c r="P41" i="1"/>
  <c r="O41" i="1"/>
  <c r="N41" i="1"/>
  <c r="M41" i="1"/>
  <c r="M48" i="1" s="1"/>
  <c r="M47" i="1" s="1"/>
  <c r="L41" i="1"/>
  <c r="K41" i="1"/>
  <c r="J41" i="1"/>
  <c r="I41" i="1"/>
  <c r="H41" i="1"/>
  <c r="G41" i="1"/>
  <c r="G48" i="1" s="1"/>
  <c r="G47" i="1" s="1"/>
  <c r="F41" i="1"/>
  <c r="E41" i="1"/>
  <c r="D41" i="1"/>
  <c r="C41" i="1"/>
  <c r="B41" i="1"/>
  <c r="Q34" i="1"/>
  <c r="Q48" i="1" s="1"/>
  <c r="Q47" i="1" s="1"/>
  <c r="P34" i="1"/>
  <c r="O34" i="1"/>
  <c r="N34" i="1"/>
  <c r="M34" i="1"/>
  <c r="L34" i="1"/>
  <c r="L48" i="1" s="1"/>
  <c r="L47" i="1" s="1"/>
  <c r="K34" i="1"/>
  <c r="K48" i="1" s="1"/>
  <c r="K47" i="1" s="1"/>
  <c r="J34" i="1"/>
  <c r="I34" i="1"/>
  <c r="H34" i="1"/>
  <c r="G34" i="1"/>
  <c r="F34" i="1"/>
  <c r="F48" i="1" s="1"/>
  <c r="F47" i="1" s="1"/>
  <c r="E34" i="1"/>
  <c r="E48" i="1" s="1"/>
  <c r="E47" i="1" s="1"/>
  <c r="D34" i="1"/>
  <c r="C34" i="1"/>
  <c r="B34" i="1"/>
  <c r="A33" i="1"/>
  <c r="A32" i="1"/>
  <c r="A31" i="1"/>
  <c r="A30" i="1"/>
  <c r="A29" i="1"/>
  <c r="A28" i="1"/>
  <c r="A27" i="1"/>
  <c r="A26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3" i="1"/>
  <c r="A22" i="1"/>
  <c r="A21" i="1"/>
  <c r="A20" i="1"/>
  <c r="A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7" i="1"/>
  <c r="A6" i="1"/>
  <c r="Q2" i="1"/>
  <c r="P2" i="1"/>
  <c r="P49" i="1" s="1"/>
  <c r="O2" i="1"/>
  <c r="O49" i="1" s="1"/>
  <c r="N2" i="1"/>
  <c r="N49" i="1" s="1"/>
  <c r="M2" i="1"/>
  <c r="M49" i="1" s="1"/>
  <c r="L2" i="1"/>
  <c r="K2" i="1"/>
  <c r="J2" i="1"/>
  <c r="J49" i="1" s="1"/>
  <c r="I2" i="1"/>
  <c r="I49" i="1" s="1"/>
  <c r="H2" i="1"/>
  <c r="H49" i="1" s="1"/>
  <c r="G2" i="1"/>
  <c r="F2" i="1"/>
  <c r="E2" i="1"/>
  <c r="D2" i="1"/>
  <c r="D49" i="1" s="1"/>
  <c r="C2" i="1"/>
  <c r="C49" i="1" s="1"/>
  <c r="B2" i="1"/>
  <c r="B49" i="1" s="1"/>
  <c r="E49" i="1" l="1"/>
  <c r="K49" i="1"/>
  <c r="Q49" i="1"/>
  <c r="F49" i="1"/>
  <c r="L49" i="1"/>
  <c r="G49" i="1"/>
</calcChain>
</file>

<file path=xl/sharedStrings.xml><?xml version="1.0" encoding="utf-8"?>
<sst xmlns="http://schemas.openxmlformats.org/spreadsheetml/2006/main" count="48" uniqueCount="48">
  <si>
    <t>Nome</t>
  </si>
  <si>
    <t>BTG Conservador s/ Bolsa</t>
  </si>
  <si>
    <t>BTG Conservador HF</t>
  </si>
  <si>
    <t>BTG Moderado HF</t>
  </si>
  <si>
    <t>BTG Agressivo HF</t>
  </si>
  <si>
    <t>BTG Conservador</t>
  </si>
  <si>
    <t>BTG Moderado</t>
  </si>
  <si>
    <t>MS Conservador</t>
  </si>
  <si>
    <t>MS Moderado</t>
  </si>
  <si>
    <t>MS Conservador HF</t>
  </si>
  <si>
    <t>MS Moderado HF</t>
  </si>
  <si>
    <t>JPM Conservador HF</t>
  </si>
  <si>
    <t>JPM Moderado HF</t>
  </si>
  <si>
    <t>JPM Agressivo HF</t>
  </si>
  <si>
    <t>Bradesco Conservador HF</t>
  </si>
  <si>
    <t>Bradesco Moderado HF</t>
  </si>
  <si>
    <t>Bradesco Agressivo HF</t>
  </si>
  <si>
    <t>ALTERNATIVES</t>
  </si>
  <si>
    <t>AB SELECT ABSOLUTE ALPHA PORTFOLIO - A ACC USD (LU0736558973)</t>
  </si>
  <si>
    <t>AQR SUSTAINABLE DELPHI LONG-SHORT EQUITY UCITS FUND - PRAUFT ACC USD (LU2694862363)</t>
  </si>
  <si>
    <t>BSF GLOBAL EVENT DRIVEN FUND - A2 ACC USD (LU1251620883)</t>
  </si>
  <si>
    <t>BTG PACTUAL WM INTL PORT SPC - TAG HEDGE FUNDS SP (33622)</t>
  </si>
  <si>
    <t>JPMORGAN UNCORRELATED FUND</t>
  </si>
  <si>
    <t>BRADESCO FRONTIER FOF HEDGE FUNDS</t>
  </si>
  <si>
    <t>ICAPITAL/JPM INFRASTRUCTURE INVESTMENTS LUX ACCESS FUND</t>
  </si>
  <si>
    <t>NEUBERGER BERMAN US LONG SHORT EQUITY FUND - A ACC USD (IE00BVYJ5W68)</t>
  </si>
  <si>
    <t>RIVERVIEW OPPORTUNISTIC FUND</t>
  </si>
  <si>
    <t>ICAPITAL IDIRECT MULTISTRATEGY</t>
  </si>
  <si>
    <t>INVISTA NNN AMAZON/MSFT/GOOG</t>
  </si>
  <si>
    <t>ISHARES BITCOIN TRUST (IBIT US)</t>
  </si>
  <si>
    <t>SCHRODER GAIA CONTOUR TECH EQUITY FUND - A ACC USD (LU1725199209)</t>
  </si>
  <si>
    <t>COMMODITIES</t>
  </si>
  <si>
    <t>EQUITIES</t>
  </si>
  <si>
    <t>CORE SP500 UCITS ETF(CSPX LN)</t>
  </si>
  <si>
    <t>CREDIT &amp; SOVEREIGNS EM</t>
  </si>
  <si>
    <t>ALGEBRIS FINANCIAL CREDIT FUND - R ACC USDHDG (IE00BK017F69)</t>
  </si>
  <si>
    <t>MAN GLG HIGH YIELD OPPORTUNITIES FUND - DV ACC USDHDG (IE00BL6VJ735)</t>
  </si>
  <si>
    <t>NINETY ONE GSF EMERGING MARKETS CORPORATE DEBT FUND - A ACC USD (LU0611394940)</t>
  </si>
  <si>
    <t>OAKTREE FUND (LUX) III - OAKTREE GLOBAL CREDIT FUND - R ACC USD (LU1617686933)</t>
  </si>
  <si>
    <t>PIMCO GIS INCOME FUND - E ACC USD (IE00B7KFL990)</t>
  </si>
  <si>
    <t>BNY MULTI SECTOR CREDIT INCOME FUND</t>
  </si>
  <si>
    <t>SOVEREIGNS G7</t>
  </si>
  <si>
    <t>JPMORGAN STRUCTURED PRODUCTS - US STEEPENER EMTN VAR 0.000% 2026-07-24 (XS2843003869)</t>
  </si>
  <si>
    <t xml:space="preserve">ISHARES USD TIPS UCITS ETF (IDTP LN) </t>
  </si>
  <si>
    <t>HEDGES</t>
  </si>
  <si>
    <t>CASH</t>
  </si>
  <si>
    <t>MONEY MARKET 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</si>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</sst>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6E4DB"/>
      <name val="Tahoma"/>
      <family val="2"/>
    </font>
    <font>
      <b/>
      <sz val="9"/>
      <color theme="0"/>
      <name val="Tahoma"/>
      <family val="2"/>
    </font>
    <font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630D24"/>
        <bgColor indexed="64"/>
      </patternFill>
    </fill>
    <fill>
      <patternFill patternType="solid">
        <fgColor theme="5"/>
        <bgColor indexed="64"/>
      </patternFill>
    </fill>
    <fill>
      <patternFill patternType="gray125"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8853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bgColor rgb="FFFFFF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textRotation="90"/>
    </xf>
    <xf numFmtId="49" fontId="2" fillId="2" borderId="1" xfId="0" applyNumberFormat="1" applyFont="1" applyFill="1" applyBorder="1" applyAlignment="1">
      <alignment horizontal="center" vertical="center" textRotation="90"/>
    </xf>
    <xf numFmtId="49" fontId="2" fillId="2" borderId="3" xfId="0" applyNumberFormat="1" applyFont="1" applyFill="1" applyBorder="1" applyAlignment="1">
      <alignment horizontal="center" vertical="center" textRotation="90"/>
    </xf>
    <xf numFmtId="49" fontId="2" fillId="2" borderId="4" xfId="0" applyNumberFormat="1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vertical="center"/>
    </xf>
    <xf numFmtId="10" fontId="3" fillId="3" borderId="1" xfId="1" applyNumberFormat="1" applyFont="1" applyFill="1" applyBorder="1" applyAlignment="1">
      <alignment horizontal="center" vertical="center"/>
    </xf>
    <xf numFmtId="10" fontId="3" fillId="3" borderId="3" xfId="1" applyNumberFormat="1" applyFont="1" applyFill="1" applyBorder="1" applyAlignment="1">
      <alignment horizontal="center" vertical="center"/>
    </xf>
    <xf numFmtId="10" fontId="3" fillId="3" borderId="4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10" fontId="4" fillId="4" borderId="5" xfId="1" applyNumberFormat="1" applyFont="1" applyFill="1" applyBorder="1" applyAlignment="1">
      <alignment horizontal="center" vertical="center"/>
    </xf>
    <xf numFmtId="10" fontId="4" fillId="4" borderId="0" xfId="1" applyNumberFormat="1" applyFont="1" applyFill="1" applyBorder="1" applyAlignment="1">
      <alignment horizontal="center" vertical="center"/>
    </xf>
    <xf numFmtId="10" fontId="4" fillId="4" borderId="6" xfId="1" applyNumberFormat="1" applyFont="1" applyFill="1" applyBorder="1" applyAlignment="1">
      <alignment horizontal="center" vertical="center"/>
    </xf>
    <xf numFmtId="10" fontId="4" fillId="5" borderId="5" xfId="1" applyNumberFormat="1" applyFont="1" applyFill="1" applyBorder="1" applyAlignment="1">
      <alignment horizontal="center" vertical="center"/>
    </xf>
    <xf numFmtId="10" fontId="4" fillId="5" borderId="6" xfId="1" applyNumberFormat="1" applyFont="1" applyFill="1" applyBorder="1" applyAlignment="1">
      <alignment horizontal="center" vertical="center"/>
    </xf>
    <xf numFmtId="10" fontId="4" fillId="4" borderId="7" xfId="1" applyNumberFormat="1" applyFont="1" applyFill="1" applyBorder="1" applyAlignment="1">
      <alignment horizontal="center" vertical="center"/>
    </xf>
    <xf numFmtId="10" fontId="4" fillId="4" borderId="8" xfId="1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 indent="1"/>
    </xf>
    <xf numFmtId="10" fontId="4" fillId="5" borderId="9" xfId="1" applyNumberFormat="1" applyFont="1" applyFill="1" applyBorder="1" applyAlignment="1">
      <alignment horizontal="center" vertical="center"/>
    </xf>
    <xf numFmtId="10" fontId="4" fillId="4" borderId="9" xfId="1" applyNumberFormat="1" applyFont="1" applyFill="1" applyBorder="1" applyAlignment="1">
      <alignment horizontal="center" vertical="center"/>
    </xf>
    <xf numFmtId="10" fontId="4" fillId="4" borderId="10" xfId="1" applyNumberFormat="1" applyFont="1" applyFill="1" applyBorder="1" applyAlignment="1">
      <alignment horizontal="center" vertical="center"/>
    </xf>
    <xf numFmtId="10" fontId="4" fillId="4" borderId="11" xfId="1" applyNumberFormat="1" applyFont="1" applyFill="1" applyBorder="1" applyAlignment="1">
      <alignment horizontal="center" vertical="center"/>
    </xf>
    <xf numFmtId="10" fontId="4" fillId="5" borderId="11" xfId="1" applyNumberFormat="1" applyFont="1" applyFill="1" applyBorder="1" applyAlignment="1">
      <alignment horizontal="center" vertical="center"/>
    </xf>
    <xf numFmtId="10" fontId="4" fillId="5" borderId="10" xfId="1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0" fontId="4" fillId="7" borderId="5" xfId="1" applyNumberFormat="1" applyFont="1" applyFill="1" applyBorder="1" applyAlignment="1">
      <alignment horizontal="center" vertical="center"/>
    </xf>
    <xf numFmtId="10" fontId="4" fillId="7" borderId="0" xfId="1" applyNumberFormat="1" applyFont="1" applyFill="1" applyBorder="1" applyAlignment="1">
      <alignment horizontal="center" vertical="center"/>
    </xf>
    <xf numFmtId="10" fontId="4" fillId="7" borderId="6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10" fontId="4" fillId="5" borderId="0" xfId="1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left" vertical="center" indent="1"/>
    </xf>
    <xf numFmtId="10" fontId="4" fillId="8" borderId="9" xfId="1" applyNumberFormat="1" applyFont="1" applyFill="1" applyBorder="1" applyAlignment="1">
      <alignment horizontal="center" vertical="center"/>
    </xf>
    <xf numFmtId="10" fontId="4" fillId="7" borderId="9" xfId="1" applyNumberFormat="1" applyFont="1" applyFill="1" applyBorder="1" applyAlignment="1">
      <alignment horizontal="center" vertical="center"/>
    </xf>
    <xf numFmtId="10" fontId="4" fillId="7" borderId="10" xfId="1" applyNumberFormat="1" applyFont="1" applyFill="1" applyBorder="1" applyAlignment="1">
      <alignment horizontal="center" vertical="center"/>
    </xf>
    <xf numFmtId="10" fontId="4" fillId="7" borderId="11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10" fontId="3" fillId="2" borderId="12" xfId="1" applyNumberFormat="1" applyFont="1" applyFill="1" applyBorder="1" applyAlignment="1">
      <alignment horizontal="center" vertical="center"/>
    </xf>
    <xf numFmtId="10" fontId="3" fillId="2" borderId="13" xfId="1" applyNumberFormat="1" applyFont="1" applyFill="1" applyBorder="1" applyAlignment="1">
      <alignment horizontal="center" vertical="center"/>
    </xf>
    <xf numFmtId="10" fontId="3" fillId="2" borderId="14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Carteiras%20Modelo/Thermos%20CMs%20(GERI%20e%20GPPF)%20Agosto.26.xlsx" TargetMode="External"/><Relationship Id="rId2" Type="http://schemas.openxmlformats.org/officeDocument/2006/relationships/externalLinkPath" Target="file:///C:\Users\guilherme.balbino\Desktop\Carteiras%20Modelo\Thermos%20CMs%20(GERI%20e%20GPPF)%20Agosto.26.xlsx" TargetMode="External"/><Relationship Id="rId1" Type="http://schemas.openxmlformats.org/officeDocument/2006/relationships/externalLinkPath" Target="/Users/guilherme.balbino/Desktop/Carteiras%20Modelo/Thermos%20CMs%20(GERI%20e%20GPPF)%20Agosto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ermo GERI"/>
      <sheetName val="Thermo GPPF"/>
      <sheetName val="Thermo Carta Mensal"/>
      <sheetName val="CM GERI Off"/>
      <sheetName val="CM GPPF Off"/>
      <sheetName val="CM GPPF Onshore"/>
      <sheetName val="CM´s PREV"/>
      <sheetName val="CM GPPF FoF´s"/>
      <sheetName val="CM´s GPPF Dados"/>
      <sheetName val="Dados"/>
      <sheetName val="Planilha1"/>
      <sheetName val="Planilha2"/>
      <sheetName val="Fundos"/>
    </sheetNames>
    <sheetDataSet>
      <sheetData sheetId="0"/>
      <sheetData sheetId="1"/>
      <sheetData sheetId="2"/>
      <sheetData sheetId="3">
        <row r="6">
          <cell r="A6" t="str">
            <v>AQR APEX I (LU2793907093) ou (LU2793907176 )</v>
          </cell>
        </row>
        <row r="11">
          <cell r="A11" t="str">
            <v>JUPITER MERIAN GLOBAL EQUITY ABSOLUTE RETURN FUND (IE00BLP5S684 )</v>
          </cell>
        </row>
        <row r="13">
          <cell r="A13" t="str">
            <v>GLOBAL X COPPER MINERS UCITS ETF (COPX LN)</v>
          </cell>
        </row>
        <row r="14">
          <cell r="A14" t="str">
            <v>UNITED STATES COPPER INDEX (CPER US)</v>
          </cell>
        </row>
        <row r="15">
          <cell r="A15" t="str">
            <v>VANECK GOLD MINERS UCITS ETF (GDX LN)</v>
          </cell>
        </row>
        <row r="16">
          <cell r="A16" t="str">
            <v>SPDR GOLD SHARES (GLD US)</v>
          </cell>
        </row>
        <row r="17">
          <cell r="A17" t="str">
            <v>SPROTT PHYSICAL URANIUM TRUST (SRUUF US)</v>
          </cell>
        </row>
        <row r="22">
          <cell r="A22" t="str">
            <v>CIBR CYBER SECURITY ETF</v>
          </cell>
        </row>
        <row r="23">
          <cell r="A23" t="str">
            <v>BKCH ETF (BLOCKCHAIN)</v>
          </cell>
        </row>
        <row r="24">
          <cell r="A24" t="str">
            <v>GLOBAL X EUR INFRA UCITS ETF (BRIJ LN)</v>
          </cell>
        </row>
        <row r="25">
          <cell r="A25" t="str">
            <v>PHILA SEMICONDUCTORS  (SOXQ US)</v>
          </cell>
        </row>
        <row r="26">
          <cell r="A26" t="str">
            <v>DRAM (DRAM US)</v>
          </cell>
        </row>
        <row r="27">
          <cell r="A27" t="str">
            <v>FIRST TRUST SMART GRID (GRID US)</v>
          </cell>
        </row>
        <row r="28">
          <cell r="A28" t="str">
            <v>ISHARES S&amp;P 500 EQUAL WEIGHT UCITS ETF (EWSX LN)</v>
          </cell>
        </row>
        <row r="29">
          <cell r="A29" t="str">
            <v>SPDR S&amp;P US FINANCIALS SELECT SECTOR UCITS ETF (SXLF LN)</v>
          </cell>
        </row>
        <row r="38">
          <cell r="A38" t="str">
            <v>ISHARES USD TREASURY  BOND 20+yr UCITS ETF (DTLA LN)</v>
          </cell>
        </row>
        <row r="40">
          <cell r="A40" t="str">
            <v>GENERIC PUT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525A-A2AD-4EDF-B350-A24DE6E4B467}">
  <dimension ref="A1:Q49"/>
  <sheetViews>
    <sheetView tabSelected="1" workbookViewId="0">
      <selection activeCell="N3" sqref="N3"/>
    </sheetView>
  </sheetViews>
  <sheetFormatPr defaultRowHeight="15" x14ac:dyDescent="0.25"/>
  <cols>
    <col min="1" max="1" width="87.42578125" bestFit="1" customWidth="1"/>
  </cols>
  <sheetData>
    <row r="1" spans="1:17" ht="133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4" t="s">
        <v>15</v>
      </c>
      <c r="Q1" s="5" t="s">
        <v>16</v>
      </c>
    </row>
    <row r="2" spans="1:17" ht="15.75" thickBot="1" x14ac:dyDescent="0.3">
      <c r="A2" s="6" t="s">
        <v>17</v>
      </c>
      <c r="B2" s="7">
        <f t="shared" ref="B2:Q2" si="0">SUM(B3:B17)</f>
        <v>0.35000000000000003</v>
      </c>
      <c r="C2" s="7">
        <f t="shared" si="0"/>
        <v>0.30000000000000004</v>
      </c>
      <c r="D2" s="8">
        <f t="shared" si="0"/>
        <v>0.30000000000000004</v>
      </c>
      <c r="E2" s="9">
        <f t="shared" si="0"/>
        <v>0.30000000000000004</v>
      </c>
      <c r="F2" s="7">
        <f t="shared" si="0"/>
        <v>0.35000000000000003</v>
      </c>
      <c r="G2" s="9">
        <f t="shared" si="0"/>
        <v>0.36000000000000004</v>
      </c>
      <c r="H2" s="7">
        <f t="shared" si="0"/>
        <v>0.3</v>
      </c>
      <c r="I2" s="9">
        <f t="shared" si="0"/>
        <v>0.30000000000000004</v>
      </c>
      <c r="J2" s="7">
        <f t="shared" si="0"/>
        <v>0.3</v>
      </c>
      <c r="K2" s="9">
        <f t="shared" si="0"/>
        <v>0.30500000000000005</v>
      </c>
      <c r="L2" s="7">
        <f t="shared" si="0"/>
        <v>0.3</v>
      </c>
      <c r="M2" s="8">
        <f t="shared" si="0"/>
        <v>0.30000000000000004</v>
      </c>
      <c r="N2" s="9">
        <f t="shared" si="0"/>
        <v>0.30000000000000004</v>
      </c>
      <c r="O2" s="7">
        <f t="shared" si="0"/>
        <v>0.3</v>
      </c>
      <c r="P2" s="8">
        <f t="shared" si="0"/>
        <v>0.30000000000000004</v>
      </c>
      <c r="Q2" s="9">
        <f t="shared" si="0"/>
        <v>0.30000000000000004</v>
      </c>
    </row>
    <row r="3" spans="1:17" x14ac:dyDescent="0.25">
      <c r="A3" s="10" t="s">
        <v>18</v>
      </c>
      <c r="B3" s="11"/>
      <c r="C3" s="11"/>
      <c r="D3" s="12"/>
      <c r="E3" s="13"/>
      <c r="F3" s="11"/>
      <c r="G3" s="13"/>
      <c r="H3" s="14">
        <v>0.05</v>
      </c>
      <c r="I3" s="15">
        <v>0.05</v>
      </c>
      <c r="J3" s="16"/>
      <c r="K3" s="17"/>
      <c r="L3" s="11"/>
      <c r="M3" s="12"/>
      <c r="N3" s="13"/>
      <c r="O3" s="11"/>
      <c r="P3" s="12"/>
      <c r="Q3" s="13"/>
    </row>
    <row r="4" spans="1:17" x14ac:dyDescent="0.25">
      <c r="A4" s="18" t="s">
        <v>19</v>
      </c>
      <c r="B4" s="19">
        <v>0.04</v>
      </c>
      <c r="C4" s="20"/>
      <c r="D4" s="21"/>
      <c r="E4" s="22"/>
      <c r="F4" s="19">
        <v>0.04</v>
      </c>
      <c r="G4" s="23">
        <v>0.04</v>
      </c>
      <c r="H4" s="20"/>
      <c r="I4" s="22"/>
      <c r="J4" s="20"/>
      <c r="K4" s="22"/>
      <c r="L4" s="20"/>
      <c r="M4" s="21"/>
      <c r="N4" s="22"/>
      <c r="O4" s="20"/>
      <c r="P4" s="21"/>
      <c r="Q4" s="22"/>
    </row>
    <row r="5" spans="1:17" x14ac:dyDescent="0.25">
      <c r="A5" s="18" t="s">
        <v>20</v>
      </c>
      <c r="B5" s="19">
        <v>0.04</v>
      </c>
      <c r="C5" s="20"/>
      <c r="D5" s="21"/>
      <c r="E5" s="22"/>
      <c r="F5" s="19">
        <v>0.04</v>
      </c>
      <c r="G5" s="23">
        <v>0.04</v>
      </c>
      <c r="H5" s="19">
        <v>4.4999999999999998E-2</v>
      </c>
      <c r="I5" s="23">
        <v>0.04</v>
      </c>
      <c r="J5" s="20"/>
      <c r="K5" s="22"/>
      <c r="L5" s="20"/>
      <c r="M5" s="21"/>
      <c r="N5" s="22"/>
      <c r="O5" s="20"/>
      <c r="P5" s="21"/>
      <c r="Q5" s="22"/>
    </row>
    <row r="6" spans="1:17" x14ac:dyDescent="0.25">
      <c r="A6" s="18" t="str">
        <f>'[1]CM GERI Off'!A6</f>
        <v>AQR APEX I (LU2793907093) ou (LU2793907176 )</v>
      </c>
      <c r="B6" s="19">
        <v>0.04</v>
      </c>
      <c r="C6" s="20"/>
      <c r="D6" s="21"/>
      <c r="E6" s="22"/>
      <c r="F6" s="19">
        <v>0.04</v>
      </c>
      <c r="G6" s="23">
        <v>0.04</v>
      </c>
      <c r="H6" s="20"/>
      <c r="I6" s="22"/>
      <c r="J6" s="20"/>
      <c r="K6" s="22"/>
      <c r="L6" s="20"/>
      <c r="M6" s="21"/>
      <c r="N6" s="22"/>
      <c r="O6" s="20"/>
      <c r="P6" s="21"/>
      <c r="Q6" s="22"/>
    </row>
    <row r="7" spans="1:17" x14ac:dyDescent="0.25">
      <c r="A7" s="18" t="str">
        <f>'[1]CM GERI Off'!A11</f>
        <v>JUPITER MERIAN GLOBAL EQUITY ABSOLUTE RETURN FUND (IE00BLP5S684 )</v>
      </c>
      <c r="B7" s="19">
        <v>0.04</v>
      </c>
      <c r="C7" s="20"/>
      <c r="D7" s="21"/>
      <c r="E7" s="22"/>
      <c r="F7" s="19">
        <v>0.04</v>
      </c>
      <c r="G7" s="23">
        <v>0.04</v>
      </c>
      <c r="H7" s="19">
        <v>0.05</v>
      </c>
      <c r="I7" s="23">
        <v>0.05</v>
      </c>
      <c r="J7" s="20"/>
      <c r="K7" s="22"/>
      <c r="L7" s="20"/>
      <c r="M7" s="21"/>
      <c r="N7" s="22"/>
      <c r="O7" s="20"/>
      <c r="P7" s="21"/>
      <c r="Q7" s="22"/>
    </row>
    <row r="8" spans="1:17" x14ac:dyDescent="0.25">
      <c r="A8" s="18" t="s">
        <v>21</v>
      </c>
      <c r="B8" s="20"/>
      <c r="C8" s="19">
        <v>0.15</v>
      </c>
      <c r="D8" s="24">
        <v>0.14000000000000001</v>
      </c>
      <c r="E8" s="23">
        <v>0.13500000000000001</v>
      </c>
      <c r="F8" s="20"/>
      <c r="G8" s="22"/>
      <c r="H8" s="20"/>
      <c r="I8" s="22"/>
      <c r="J8" s="20"/>
      <c r="K8" s="22"/>
      <c r="L8" s="20"/>
      <c r="M8" s="21"/>
      <c r="N8" s="22"/>
      <c r="O8" s="20"/>
      <c r="P8" s="21"/>
      <c r="Q8" s="22"/>
    </row>
    <row r="9" spans="1:17" x14ac:dyDescent="0.25">
      <c r="A9" s="18" t="s">
        <v>22</v>
      </c>
      <c r="B9" s="20"/>
      <c r="C9" s="20"/>
      <c r="D9" s="21"/>
      <c r="E9" s="22"/>
      <c r="F9" s="20"/>
      <c r="G9" s="22"/>
      <c r="H9" s="20"/>
      <c r="I9" s="22"/>
      <c r="J9" s="20"/>
      <c r="K9" s="22"/>
      <c r="L9" s="19">
        <v>0.14499999999999999</v>
      </c>
      <c r="M9" s="24">
        <v>0.14000000000000001</v>
      </c>
      <c r="N9" s="23">
        <v>0.13500000000000001</v>
      </c>
      <c r="O9" s="20"/>
      <c r="P9" s="21"/>
      <c r="Q9" s="22"/>
    </row>
    <row r="10" spans="1:17" x14ac:dyDescent="0.25">
      <c r="A10" s="18" t="s">
        <v>23</v>
      </c>
      <c r="B10" s="20"/>
      <c r="C10" s="20"/>
      <c r="D10" s="21"/>
      <c r="E10" s="22"/>
      <c r="F10" s="20"/>
      <c r="G10" s="22"/>
      <c r="H10" s="20"/>
      <c r="I10" s="22"/>
      <c r="J10" s="20"/>
      <c r="K10" s="22"/>
      <c r="L10" s="20"/>
      <c r="M10" s="21"/>
      <c r="N10" s="22"/>
      <c r="O10" s="19">
        <v>0.14499999999999999</v>
      </c>
      <c r="P10" s="24">
        <v>0.14000000000000001</v>
      </c>
      <c r="Q10" s="23">
        <v>0.13500000000000001</v>
      </c>
    </row>
    <row r="11" spans="1:17" x14ac:dyDescent="0.25">
      <c r="A11" s="18" t="s">
        <v>24</v>
      </c>
      <c r="B11" s="19">
        <v>0.05</v>
      </c>
      <c r="C11" s="19">
        <v>0.05</v>
      </c>
      <c r="D11" s="24">
        <v>0.05</v>
      </c>
      <c r="E11" s="23">
        <v>0.05</v>
      </c>
      <c r="F11" s="19">
        <v>0.05</v>
      </c>
      <c r="G11" s="23">
        <v>0.05</v>
      </c>
      <c r="H11" s="19">
        <v>0.05</v>
      </c>
      <c r="I11" s="23">
        <v>0.05</v>
      </c>
      <c r="J11" s="19">
        <v>0.05</v>
      </c>
      <c r="K11" s="23">
        <v>0.05</v>
      </c>
      <c r="L11" s="19">
        <v>0.05</v>
      </c>
      <c r="M11" s="24">
        <v>0.05</v>
      </c>
      <c r="N11" s="23">
        <v>0.05</v>
      </c>
      <c r="O11" s="19">
        <v>0.05</v>
      </c>
      <c r="P11" s="24">
        <v>0.05</v>
      </c>
      <c r="Q11" s="23">
        <v>0.05</v>
      </c>
    </row>
    <row r="12" spans="1:17" x14ac:dyDescent="0.25">
      <c r="A12" s="18" t="s">
        <v>25</v>
      </c>
      <c r="B12" s="20"/>
      <c r="C12" s="20"/>
      <c r="D12" s="21"/>
      <c r="E12" s="22"/>
      <c r="F12" s="20"/>
      <c r="G12" s="22"/>
      <c r="H12" s="20"/>
      <c r="I12" s="22"/>
      <c r="J12" s="20"/>
      <c r="K12" s="22"/>
      <c r="L12" s="20"/>
      <c r="M12" s="21"/>
      <c r="N12" s="22"/>
      <c r="O12" s="20"/>
      <c r="P12" s="21"/>
      <c r="Q12" s="22"/>
    </row>
    <row r="13" spans="1:17" x14ac:dyDescent="0.25">
      <c r="A13" s="18" t="s">
        <v>26</v>
      </c>
      <c r="B13" s="20"/>
      <c r="C13" s="20"/>
      <c r="D13" s="21"/>
      <c r="E13" s="22"/>
      <c r="F13" s="20"/>
      <c r="G13" s="22"/>
      <c r="H13" s="20"/>
      <c r="I13" s="22"/>
      <c r="J13" s="19">
        <v>7.2499999999999995E-2</v>
      </c>
      <c r="K13" s="23">
        <v>7.2499999999999995E-2</v>
      </c>
      <c r="L13" s="20"/>
      <c r="M13" s="21"/>
      <c r="N13" s="22"/>
      <c r="O13" s="20"/>
      <c r="P13" s="21"/>
      <c r="Q13" s="22"/>
    </row>
    <row r="14" spans="1:17" x14ac:dyDescent="0.25">
      <c r="A14" s="18" t="s">
        <v>27</v>
      </c>
      <c r="B14" s="20"/>
      <c r="C14" s="20"/>
      <c r="D14" s="21"/>
      <c r="E14" s="22"/>
      <c r="F14" s="20"/>
      <c r="G14" s="22"/>
      <c r="H14" s="20"/>
      <c r="I14" s="22"/>
      <c r="J14" s="19">
        <v>7.2499999999999995E-2</v>
      </c>
      <c r="K14" s="23">
        <v>7.2499999999999995E-2</v>
      </c>
      <c r="L14" s="20"/>
      <c r="M14" s="21"/>
      <c r="N14" s="22"/>
      <c r="O14" s="20"/>
      <c r="P14" s="21"/>
      <c r="Q14" s="22"/>
    </row>
    <row r="15" spans="1:17" x14ac:dyDescent="0.25">
      <c r="A15" s="18" t="s">
        <v>28</v>
      </c>
      <c r="B15" s="19">
        <v>0.1</v>
      </c>
      <c r="C15" s="19">
        <v>0.1</v>
      </c>
      <c r="D15" s="24">
        <v>0.1</v>
      </c>
      <c r="E15" s="23">
        <v>0.1</v>
      </c>
      <c r="F15" s="19">
        <v>0.1</v>
      </c>
      <c r="G15" s="23">
        <v>0.1</v>
      </c>
      <c r="H15" s="19">
        <v>0.105</v>
      </c>
      <c r="I15" s="23">
        <v>0.1</v>
      </c>
      <c r="J15" s="19">
        <v>0.105</v>
      </c>
      <c r="K15" s="23">
        <v>0.1</v>
      </c>
      <c r="L15" s="19">
        <v>0.105</v>
      </c>
      <c r="M15" s="24">
        <v>0.1</v>
      </c>
      <c r="N15" s="23">
        <v>0.1</v>
      </c>
      <c r="O15" s="19">
        <v>0.105</v>
      </c>
      <c r="P15" s="24">
        <v>0.1</v>
      </c>
      <c r="Q15" s="23">
        <v>0.1</v>
      </c>
    </row>
    <row r="16" spans="1:17" x14ac:dyDescent="0.25">
      <c r="A16" s="18" t="s">
        <v>29</v>
      </c>
      <c r="B16" s="19">
        <v>0</v>
      </c>
      <c r="C16" s="20"/>
      <c r="D16" s="24">
        <v>0.01</v>
      </c>
      <c r="E16" s="23">
        <v>1.4999999999999999E-2</v>
      </c>
      <c r="F16" s="20"/>
      <c r="G16" s="23">
        <v>0.01</v>
      </c>
      <c r="H16" s="20"/>
      <c r="I16" s="23">
        <v>0.01</v>
      </c>
      <c r="J16" s="20"/>
      <c r="K16" s="23">
        <v>0.01</v>
      </c>
      <c r="L16" s="20"/>
      <c r="M16" s="24">
        <v>0.01</v>
      </c>
      <c r="N16" s="23">
        <v>1.4999999999999999E-2</v>
      </c>
      <c r="O16" s="20"/>
      <c r="P16" s="24">
        <v>0.01</v>
      </c>
      <c r="Q16" s="23">
        <v>1.4999999999999999E-2</v>
      </c>
    </row>
    <row r="17" spans="1:17" ht="15.75" thickBot="1" x14ac:dyDescent="0.3">
      <c r="A17" s="10" t="s">
        <v>30</v>
      </c>
      <c r="B17" s="14">
        <v>0.04</v>
      </c>
      <c r="C17" s="11"/>
      <c r="D17" s="12"/>
      <c r="E17" s="13"/>
      <c r="F17" s="14">
        <v>0.04</v>
      </c>
      <c r="G17" s="15">
        <v>0.04</v>
      </c>
      <c r="H17" s="11"/>
      <c r="I17" s="13"/>
      <c r="J17" s="11"/>
      <c r="K17" s="13"/>
      <c r="L17" s="11"/>
      <c r="M17" s="12"/>
      <c r="N17" s="13"/>
      <c r="O17" s="11"/>
      <c r="P17" s="12"/>
      <c r="Q17" s="13"/>
    </row>
    <row r="18" spans="1:17" ht="15.75" thickBot="1" x14ac:dyDescent="0.3">
      <c r="A18" s="25" t="s">
        <v>31</v>
      </c>
      <c r="B18" s="7">
        <f t="shared" ref="B18:K18" si="1">SUM(B19:B23)</f>
        <v>0</v>
      </c>
      <c r="C18" s="7">
        <f>SUM(C19:C23)</f>
        <v>2.5000000000000001E-2</v>
      </c>
      <c r="D18" s="8">
        <f t="shared" si="1"/>
        <v>0.05</v>
      </c>
      <c r="E18" s="9">
        <f t="shared" si="1"/>
        <v>0.1</v>
      </c>
      <c r="F18" s="7">
        <f t="shared" si="1"/>
        <v>2.5000000000000001E-2</v>
      </c>
      <c r="G18" s="9">
        <f t="shared" si="1"/>
        <v>0.05</v>
      </c>
      <c r="H18" s="7">
        <f t="shared" si="1"/>
        <v>2.5000000000000001E-2</v>
      </c>
      <c r="I18" s="9">
        <f t="shared" si="1"/>
        <v>0.05</v>
      </c>
      <c r="J18" s="7">
        <f t="shared" si="1"/>
        <v>2.5000000000000001E-2</v>
      </c>
      <c r="K18" s="9">
        <f t="shared" si="1"/>
        <v>0.05</v>
      </c>
      <c r="L18" s="7">
        <f>SUM(L19:L23)</f>
        <v>2.5000000000000001E-2</v>
      </c>
      <c r="M18" s="8">
        <f t="shared" ref="M18:N18" si="2">SUM(M19:M23)</f>
        <v>0.05</v>
      </c>
      <c r="N18" s="9">
        <f t="shared" si="2"/>
        <v>0.1</v>
      </c>
      <c r="O18" s="7">
        <f>SUM(O19:O23)</f>
        <v>2.5000000000000001E-2</v>
      </c>
      <c r="P18" s="8">
        <f t="shared" ref="P18:Q18" si="3">SUM(P19:P23)</f>
        <v>0.05</v>
      </c>
      <c r="Q18" s="9">
        <f t="shared" si="3"/>
        <v>0.1</v>
      </c>
    </row>
    <row r="19" spans="1:17" x14ac:dyDescent="0.25">
      <c r="A19" s="10" t="str">
        <f>'[1]CM GERI Off'!A13</f>
        <v>GLOBAL X COPPER MINERS UCITS ETF (COPX LN)</v>
      </c>
      <c r="B19" s="11"/>
      <c r="C19" s="26">
        <v>0</v>
      </c>
      <c r="D19" s="27">
        <v>0</v>
      </c>
      <c r="E19" s="28">
        <v>0</v>
      </c>
      <c r="F19" s="26">
        <v>0</v>
      </c>
      <c r="G19" s="27">
        <v>0</v>
      </c>
      <c r="H19" s="26">
        <v>0</v>
      </c>
      <c r="I19" s="27">
        <v>0</v>
      </c>
      <c r="J19" s="26">
        <v>0</v>
      </c>
      <c r="K19" s="27">
        <v>0</v>
      </c>
      <c r="L19" s="26">
        <v>0</v>
      </c>
      <c r="M19" s="27">
        <v>0</v>
      </c>
      <c r="N19" s="28">
        <v>0</v>
      </c>
      <c r="O19" s="26">
        <v>0</v>
      </c>
      <c r="P19" s="27">
        <v>0</v>
      </c>
      <c r="Q19" s="28">
        <v>0</v>
      </c>
    </row>
    <row r="20" spans="1:17" x14ac:dyDescent="0.25">
      <c r="A20" s="29" t="str">
        <f>'[1]CM GERI Off'!A14</f>
        <v>UNITED STATES COPPER INDEX (CPER US)</v>
      </c>
      <c r="B20" s="20"/>
      <c r="C20" s="19">
        <v>7.4999999999999997E-3</v>
      </c>
      <c r="D20" s="24">
        <v>1.4999999999999999E-2</v>
      </c>
      <c r="E20" s="23">
        <v>0.03</v>
      </c>
      <c r="F20" s="19">
        <v>7.4999999999999997E-3</v>
      </c>
      <c r="G20" s="24">
        <v>1.4999999999999999E-2</v>
      </c>
      <c r="H20" s="19">
        <v>7.4999999999999997E-3</v>
      </c>
      <c r="I20" s="24">
        <v>1.4999999999999999E-2</v>
      </c>
      <c r="J20" s="19">
        <v>7.4999999999999997E-3</v>
      </c>
      <c r="K20" s="24">
        <v>1.4999999999999999E-2</v>
      </c>
      <c r="L20" s="19">
        <v>7.4999999999999997E-3</v>
      </c>
      <c r="M20" s="24">
        <v>1.4999999999999999E-2</v>
      </c>
      <c r="N20" s="23">
        <v>0.03</v>
      </c>
      <c r="O20" s="19">
        <v>7.4999999999999997E-3</v>
      </c>
      <c r="P20" s="24">
        <v>1.4999999999999999E-2</v>
      </c>
      <c r="Q20" s="23">
        <v>0.03</v>
      </c>
    </row>
    <row r="21" spans="1:17" x14ac:dyDescent="0.25">
      <c r="A21" s="29" t="str">
        <f>'[1]CM GERI Off'!A15</f>
        <v>VANECK GOLD MINERS UCITS ETF (GDX LN)</v>
      </c>
      <c r="B21" s="20"/>
      <c r="C21" s="19">
        <v>0</v>
      </c>
      <c r="D21" s="24">
        <v>0</v>
      </c>
      <c r="E21" s="23">
        <v>0</v>
      </c>
      <c r="F21" s="19">
        <v>0</v>
      </c>
      <c r="G21" s="24">
        <v>0</v>
      </c>
      <c r="H21" s="19">
        <v>0</v>
      </c>
      <c r="I21" s="24">
        <v>0</v>
      </c>
      <c r="J21" s="19">
        <v>0</v>
      </c>
      <c r="K21" s="24">
        <v>0</v>
      </c>
      <c r="L21" s="19">
        <v>0</v>
      </c>
      <c r="M21" s="24">
        <v>0</v>
      </c>
      <c r="N21" s="23">
        <v>0</v>
      </c>
      <c r="O21" s="19">
        <v>0</v>
      </c>
      <c r="P21" s="24">
        <v>0</v>
      </c>
      <c r="Q21" s="23">
        <v>0</v>
      </c>
    </row>
    <row r="22" spans="1:17" x14ac:dyDescent="0.25">
      <c r="A22" s="29" t="str">
        <f>'[1]CM GERI Off'!A16</f>
        <v>SPDR GOLD SHARES (GLD US)</v>
      </c>
      <c r="B22" s="20"/>
      <c r="C22" s="19">
        <v>7.4999999999999997E-3</v>
      </c>
      <c r="D22" s="24">
        <v>1.4999999999999999E-2</v>
      </c>
      <c r="E22" s="23">
        <v>0.03</v>
      </c>
      <c r="F22" s="19">
        <v>7.4999999999999997E-3</v>
      </c>
      <c r="G22" s="24">
        <v>1.4999999999999999E-2</v>
      </c>
      <c r="H22" s="19">
        <v>7.4999999999999997E-3</v>
      </c>
      <c r="I22" s="24">
        <v>1.4999999999999999E-2</v>
      </c>
      <c r="J22" s="19">
        <v>7.4999999999999997E-3</v>
      </c>
      <c r="K22" s="24">
        <v>1.4999999999999999E-2</v>
      </c>
      <c r="L22" s="19">
        <v>7.4999999999999997E-3</v>
      </c>
      <c r="M22" s="24">
        <v>1.4999999999999999E-2</v>
      </c>
      <c r="N22" s="23">
        <v>0.03</v>
      </c>
      <c r="O22" s="19">
        <v>7.4999999999999997E-3</v>
      </c>
      <c r="P22" s="24">
        <v>1.4999999999999999E-2</v>
      </c>
      <c r="Q22" s="23">
        <v>0.03</v>
      </c>
    </row>
    <row r="23" spans="1:17" ht="15.75" thickBot="1" x14ac:dyDescent="0.3">
      <c r="A23" s="10" t="str">
        <f>'[1]CM GERI Off'!A17</f>
        <v>SPROTT PHYSICAL URANIUM TRUST (SRUUF US)</v>
      </c>
      <c r="B23" s="11"/>
      <c r="C23" s="14">
        <v>0.01</v>
      </c>
      <c r="D23" s="30">
        <v>0.02</v>
      </c>
      <c r="E23" s="15">
        <v>0.04</v>
      </c>
      <c r="F23" s="14">
        <v>0.01</v>
      </c>
      <c r="G23" s="30">
        <v>0.02</v>
      </c>
      <c r="H23" s="14">
        <v>0.01</v>
      </c>
      <c r="I23" s="30">
        <v>0.02</v>
      </c>
      <c r="J23" s="14">
        <v>0.01</v>
      </c>
      <c r="K23" s="30">
        <v>0.02</v>
      </c>
      <c r="L23" s="14">
        <v>0.01</v>
      </c>
      <c r="M23" s="30">
        <v>0.02</v>
      </c>
      <c r="N23" s="15">
        <v>0.04</v>
      </c>
      <c r="O23" s="14">
        <v>0.01</v>
      </c>
      <c r="P23" s="30">
        <v>0.02</v>
      </c>
      <c r="Q23" s="15">
        <v>0.04</v>
      </c>
    </row>
    <row r="24" spans="1:17" ht="15.75" thickBot="1" x14ac:dyDescent="0.3">
      <c r="A24" s="25" t="s">
        <v>32</v>
      </c>
      <c r="B24" s="7">
        <f t="shared" ref="B24:Q24" si="4">SUM(B25:B33)</f>
        <v>0</v>
      </c>
      <c r="C24" s="7">
        <f t="shared" si="4"/>
        <v>4.9999999999999996E-2</v>
      </c>
      <c r="D24" s="8">
        <f t="shared" si="4"/>
        <v>9.9999999999999992E-2</v>
      </c>
      <c r="E24" s="9">
        <f t="shared" si="4"/>
        <v>0.2</v>
      </c>
      <c r="F24" s="7">
        <f t="shared" si="4"/>
        <v>4.9999999999999996E-2</v>
      </c>
      <c r="G24" s="9">
        <f t="shared" si="4"/>
        <v>9.9999999999999992E-2</v>
      </c>
      <c r="H24" s="7">
        <f t="shared" si="4"/>
        <v>4.9999999999999996E-2</v>
      </c>
      <c r="I24" s="9">
        <f t="shared" si="4"/>
        <v>9.9999999999999992E-2</v>
      </c>
      <c r="J24" s="7">
        <f t="shared" si="4"/>
        <v>4.9999999999999996E-2</v>
      </c>
      <c r="K24" s="9">
        <f t="shared" si="4"/>
        <v>9.9999999999999992E-2</v>
      </c>
      <c r="L24" s="7">
        <f t="shared" si="4"/>
        <v>4.9999999999999996E-2</v>
      </c>
      <c r="M24" s="8">
        <f t="shared" si="4"/>
        <v>9.9999999999999992E-2</v>
      </c>
      <c r="N24" s="9">
        <f t="shared" si="4"/>
        <v>0.2</v>
      </c>
      <c r="O24" s="7">
        <f t="shared" si="4"/>
        <v>4.9999999999999996E-2</v>
      </c>
      <c r="P24" s="8">
        <f t="shared" si="4"/>
        <v>9.9999999999999992E-2</v>
      </c>
      <c r="Q24" s="9">
        <f t="shared" si="4"/>
        <v>0.2</v>
      </c>
    </row>
    <row r="25" spans="1:17" x14ac:dyDescent="0.25">
      <c r="A25" s="10" t="s">
        <v>33</v>
      </c>
      <c r="B25" s="11"/>
      <c r="C25" s="14">
        <v>2.5000000000000001E-2</v>
      </c>
      <c r="D25" s="30">
        <v>0.05</v>
      </c>
      <c r="E25" s="15">
        <v>0.1</v>
      </c>
      <c r="F25" s="14">
        <v>2.5000000000000001E-2</v>
      </c>
      <c r="G25" s="30">
        <v>0.05</v>
      </c>
      <c r="H25" s="14">
        <v>2.5000000000000001E-2</v>
      </c>
      <c r="I25" s="30">
        <v>0.05</v>
      </c>
      <c r="J25" s="14">
        <v>2.5000000000000001E-2</v>
      </c>
      <c r="K25" s="30">
        <v>0.05</v>
      </c>
      <c r="L25" s="14">
        <v>2.5000000000000001E-2</v>
      </c>
      <c r="M25" s="30">
        <v>0.05</v>
      </c>
      <c r="N25" s="15">
        <v>0.1</v>
      </c>
      <c r="O25" s="14">
        <v>2.5000000000000001E-2</v>
      </c>
      <c r="P25" s="30">
        <v>0.05</v>
      </c>
      <c r="Q25" s="15">
        <v>0.1</v>
      </c>
    </row>
    <row r="26" spans="1:17" x14ac:dyDescent="0.25">
      <c r="A26" s="18" t="str">
        <f>'[1]CM GERI Off'!A22</f>
        <v>CIBR CYBER SECURITY ETF</v>
      </c>
      <c r="B26" s="20"/>
      <c r="C26" s="19">
        <v>5.0000000000000001E-3</v>
      </c>
      <c r="D26" s="24">
        <v>0.01</v>
      </c>
      <c r="E26" s="23">
        <v>0.02</v>
      </c>
      <c r="F26" s="19">
        <v>5.0000000000000001E-3</v>
      </c>
      <c r="G26" s="24">
        <v>0.01</v>
      </c>
      <c r="H26" s="19">
        <v>5.0000000000000001E-3</v>
      </c>
      <c r="I26" s="24">
        <v>0.01</v>
      </c>
      <c r="J26" s="19">
        <v>5.0000000000000001E-3</v>
      </c>
      <c r="K26" s="24">
        <v>0.01</v>
      </c>
      <c r="L26" s="19">
        <v>5.0000000000000001E-3</v>
      </c>
      <c r="M26" s="24">
        <v>0.01</v>
      </c>
      <c r="N26" s="23">
        <v>0.02</v>
      </c>
      <c r="O26" s="19">
        <v>5.0000000000000001E-3</v>
      </c>
      <c r="P26" s="24">
        <v>0.01</v>
      </c>
      <c r="Q26" s="23">
        <v>0.02</v>
      </c>
    </row>
    <row r="27" spans="1:17" x14ac:dyDescent="0.25">
      <c r="A27" s="18" t="str">
        <f>'[1]CM GERI Off'!A23</f>
        <v>BKCH ETF (BLOCKCHAIN)</v>
      </c>
      <c r="B27" s="20"/>
      <c r="C27" s="19">
        <v>5.0000000000000001E-3</v>
      </c>
      <c r="D27" s="24">
        <v>0.01</v>
      </c>
      <c r="E27" s="23">
        <v>0.02</v>
      </c>
      <c r="F27" s="19">
        <v>5.0000000000000001E-3</v>
      </c>
      <c r="G27" s="24">
        <v>0.01</v>
      </c>
      <c r="H27" s="19">
        <v>5.0000000000000001E-3</v>
      </c>
      <c r="I27" s="24">
        <v>0.01</v>
      </c>
      <c r="J27" s="19">
        <v>5.0000000000000001E-3</v>
      </c>
      <c r="K27" s="24">
        <v>0.01</v>
      </c>
      <c r="L27" s="19">
        <v>5.0000000000000001E-3</v>
      </c>
      <c r="M27" s="24">
        <v>0.01</v>
      </c>
      <c r="N27" s="23">
        <v>0.02</v>
      </c>
      <c r="O27" s="19">
        <v>5.0000000000000001E-3</v>
      </c>
      <c r="P27" s="24">
        <v>0.01</v>
      </c>
      <c r="Q27" s="23">
        <v>0.02</v>
      </c>
    </row>
    <row r="28" spans="1:17" x14ac:dyDescent="0.25">
      <c r="A28" s="18" t="str">
        <f>'[1]CM GERI Off'!A24</f>
        <v>GLOBAL X EUR INFRA UCITS ETF (BRIJ LN)</v>
      </c>
      <c r="B28" s="20"/>
      <c r="C28" s="19">
        <v>5.0000000000000001E-3</v>
      </c>
      <c r="D28" s="24">
        <v>0.01</v>
      </c>
      <c r="E28" s="23">
        <v>0.02</v>
      </c>
      <c r="F28" s="19">
        <v>5.0000000000000001E-3</v>
      </c>
      <c r="G28" s="24">
        <v>0.01</v>
      </c>
      <c r="H28" s="19">
        <v>5.0000000000000001E-3</v>
      </c>
      <c r="I28" s="24">
        <v>0.01</v>
      </c>
      <c r="J28" s="19">
        <v>5.0000000000000001E-3</v>
      </c>
      <c r="K28" s="24">
        <v>0.01</v>
      </c>
      <c r="L28" s="19">
        <v>5.0000000000000001E-3</v>
      </c>
      <c r="M28" s="24">
        <v>0.01</v>
      </c>
      <c r="N28" s="23">
        <v>0.02</v>
      </c>
      <c r="O28" s="19">
        <v>5.0000000000000001E-3</v>
      </c>
      <c r="P28" s="24">
        <v>0.01</v>
      </c>
      <c r="Q28" s="23">
        <v>0.02</v>
      </c>
    </row>
    <row r="29" spans="1:17" x14ac:dyDescent="0.25">
      <c r="A29" s="31" t="str">
        <f>'[1]CM GERI Off'!A25</f>
        <v>PHILA SEMICONDUCTORS  (SOXQ US)</v>
      </c>
      <c r="B29" s="32"/>
      <c r="C29" s="33">
        <v>3.3E-3</v>
      </c>
      <c r="D29" s="34">
        <v>6.6E-3</v>
      </c>
      <c r="E29" s="35">
        <v>1.3299999999999999E-2</v>
      </c>
      <c r="F29" s="33">
        <v>3.3E-3</v>
      </c>
      <c r="G29" s="34">
        <v>6.6E-3</v>
      </c>
      <c r="H29" s="33">
        <v>3.3E-3</v>
      </c>
      <c r="I29" s="34">
        <v>6.6E-3</v>
      </c>
      <c r="J29" s="33">
        <v>3.3E-3</v>
      </c>
      <c r="K29" s="34">
        <v>6.6E-3</v>
      </c>
      <c r="L29" s="33">
        <v>3.3E-3</v>
      </c>
      <c r="M29" s="34">
        <v>6.6E-3</v>
      </c>
      <c r="N29" s="35">
        <v>1.3299999999999999E-2</v>
      </c>
      <c r="O29" s="33">
        <v>3.3E-3</v>
      </c>
      <c r="P29" s="34">
        <v>6.6E-3</v>
      </c>
      <c r="Q29" s="35">
        <v>1.3299999999999999E-2</v>
      </c>
    </row>
    <row r="30" spans="1:17" x14ac:dyDescent="0.25">
      <c r="A30" s="31" t="str">
        <f>'[1]CM GERI Off'!A26</f>
        <v>DRAM (DRAM US)</v>
      </c>
      <c r="B30" s="32"/>
      <c r="C30" s="33">
        <v>3.3E-3</v>
      </c>
      <c r="D30" s="34">
        <v>6.7000000000000002E-3</v>
      </c>
      <c r="E30" s="35">
        <v>1.3299999999999999E-2</v>
      </c>
      <c r="F30" s="33">
        <v>3.3E-3</v>
      </c>
      <c r="G30" s="34">
        <v>6.7000000000000002E-3</v>
      </c>
      <c r="H30" s="33">
        <v>3.3E-3</v>
      </c>
      <c r="I30" s="34">
        <v>6.7000000000000002E-3</v>
      </c>
      <c r="J30" s="33">
        <v>3.3E-3</v>
      </c>
      <c r="K30" s="34">
        <v>6.7000000000000002E-3</v>
      </c>
      <c r="L30" s="33">
        <v>3.3E-3</v>
      </c>
      <c r="M30" s="34">
        <v>6.7000000000000002E-3</v>
      </c>
      <c r="N30" s="35">
        <v>1.3299999999999999E-2</v>
      </c>
      <c r="O30" s="33">
        <v>3.3E-3</v>
      </c>
      <c r="P30" s="34">
        <v>6.7000000000000002E-3</v>
      </c>
      <c r="Q30" s="35">
        <v>1.3299999999999999E-2</v>
      </c>
    </row>
    <row r="31" spans="1:17" x14ac:dyDescent="0.25">
      <c r="A31" s="31" t="str">
        <f>'[1]CM GERI Off'!A27</f>
        <v>FIRST TRUST SMART GRID (GRID US)</v>
      </c>
      <c r="B31" s="32"/>
      <c r="C31" s="33">
        <v>3.3999999999999998E-3</v>
      </c>
      <c r="D31" s="34">
        <v>6.7000000000000002E-3</v>
      </c>
      <c r="E31" s="35">
        <v>1.34E-2</v>
      </c>
      <c r="F31" s="33">
        <v>3.3999999999999998E-3</v>
      </c>
      <c r="G31" s="34">
        <v>6.7000000000000002E-3</v>
      </c>
      <c r="H31" s="33">
        <v>3.3999999999999998E-3</v>
      </c>
      <c r="I31" s="34">
        <v>6.7000000000000002E-3</v>
      </c>
      <c r="J31" s="33">
        <v>3.3999999999999998E-3</v>
      </c>
      <c r="K31" s="34">
        <v>6.7000000000000002E-3</v>
      </c>
      <c r="L31" s="33">
        <v>3.3999999999999998E-3</v>
      </c>
      <c r="M31" s="34">
        <v>6.7000000000000002E-3</v>
      </c>
      <c r="N31" s="35">
        <v>1.34E-2</v>
      </c>
      <c r="O31" s="33">
        <v>3.3999999999999998E-3</v>
      </c>
      <c r="P31" s="34">
        <v>6.7000000000000002E-3</v>
      </c>
      <c r="Q31" s="35">
        <v>1.34E-2</v>
      </c>
    </row>
    <row r="32" spans="1:17" x14ac:dyDescent="0.25">
      <c r="A32" s="18" t="str">
        <f>'[1]CM GERI Off'!A28</f>
        <v>ISHARES S&amp;P 500 EQUAL WEIGHT UCITS ETF (EWSX LN)</v>
      </c>
      <c r="B32" s="20"/>
      <c r="C32" s="33">
        <v>0</v>
      </c>
      <c r="D32" s="34">
        <v>0</v>
      </c>
      <c r="E32" s="35">
        <v>0</v>
      </c>
      <c r="F32" s="33">
        <v>0</v>
      </c>
      <c r="G32" s="34">
        <v>0</v>
      </c>
      <c r="H32" s="33">
        <v>0</v>
      </c>
      <c r="I32" s="34">
        <v>0</v>
      </c>
      <c r="J32" s="33">
        <v>0</v>
      </c>
      <c r="K32" s="34">
        <v>0</v>
      </c>
      <c r="L32" s="33">
        <v>0</v>
      </c>
      <c r="M32" s="34">
        <v>0</v>
      </c>
      <c r="N32" s="35">
        <v>0</v>
      </c>
      <c r="O32" s="33">
        <v>0</v>
      </c>
      <c r="P32" s="34">
        <v>0</v>
      </c>
      <c r="Q32" s="35">
        <v>0</v>
      </c>
    </row>
    <row r="33" spans="1:17" ht="15.75" thickBot="1" x14ac:dyDescent="0.3">
      <c r="A33" s="10" t="str">
        <f>'[1]CM GERI Off'!A29</f>
        <v>SPDR S&amp;P US FINANCIALS SELECT SECTOR UCITS ETF (SXLF LN)</v>
      </c>
      <c r="B33" s="11"/>
      <c r="C33" s="26">
        <v>0</v>
      </c>
      <c r="D33" s="27">
        <v>0</v>
      </c>
      <c r="E33" s="28">
        <v>0</v>
      </c>
      <c r="F33" s="26">
        <v>0</v>
      </c>
      <c r="G33" s="27">
        <v>0</v>
      </c>
      <c r="H33" s="26">
        <v>0</v>
      </c>
      <c r="I33" s="27">
        <v>0</v>
      </c>
      <c r="J33" s="26">
        <v>0</v>
      </c>
      <c r="K33" s="27">
        <v>0</v>
      </c>
      <c r="L33" s="26">
        <v>0</v>
      </c>
      <c r="M33" s="27">
        <v>0</v>
      </c>
      <c r="N33" s="28">
        <v>0</v>
      </c>
      <c r="O33" s="26">
        <v>0</v>
      </c>
      <c r="P33" s="27">
        <v>0</v>
      </c>
      <c r="Q33" s="28">
        <v>0</v>
      </c>
    </row>
    <row r="34" spans="1:17" ht="15.75" thickBot="1" x14ac:dyDescent="0.3">
      <c r="A34" s="25" t="s">
        <v>34</v>
      </c>
      <c r="B34" s="7">
        <f t="shared" ref="B34:Q34" si="5">SUM(B35:B40)</f>
        <v>0.25</v>
      </c>
      <c r="C34" s="7">
        <f t="shared" si="5"/>
        <v>0.2</v>
      </c>
      <c r="D34" s="8">
        <f t="shared" si="5"/>
        <v>0.2</v>
      </c>
      <c r="E34" s="9">
        <f t="shared" si="5"/>
        <v>0.125</v>
      </c>
      <c r="F34" s="7">
        <f t="shared" si="5"/>
        <v>0.2</v>
      </c>
      <c r="G34" s="9">
        <f t="shared" si="5"/>
        <v>0.2</v>
      </c>
      <c r="H34" s="7">
        <f t="shared" si="5"/>
        <v>0.2</v>
      </c>
      <c r="I34" s="9">
        <f t="shared" si="5"/>
        <v>0.19500000000000001</v>
      </c>
      <c r="J34" s="7">
        <f t="shared" si="5"/>
        <v>0.2</v>
      </c>
      <c r="K34" s="9">
        <f t="shared" si="5"/>
        <v>0.2</v>
      </c>
      <c r="L34" s="7">
        <f t="shared" si="5"/>
        <v>0.2</v>
      </c>
      <c r="M34" s="8">
        <f t="shared" si="5"/>
        <v>0.2</v>
      </c>
      <c r="N34" s="9">
        <f t="shared" si="5"/>
        <v>0.15000000000000002</v>
      </c>
      <c r="O34" s="7">
        <f t="shared" si="5"/>
        <v>0.2</v>
      </c>
      <c r="P34" s="8">
        <f t="shared" si="5"/>
        <v>0.2</v>
      </c>
      <c r="Q34" s="9">
        <f t="shared" si="5"/>
        <v>0.15000000000000002</v>
      </c>
    </row>
    <row r="35" spans="1:17" x14ac:dyDescent="0.25">
      <c r="A35" s="10" t="s">
        <v>35</v>
      </c>
      <c r="B35" s="14">
        <v>0.05</v>
      </c>
      <c r="C35" s="14">
        <v>0.04</v>
      </c>
      <c r="D35" s="30">
        <v>0.04</v>
      </c>
      <c r="E35" s="15">
        <v>2.5000000000000001E-2</v>
      </c>
      <c r="F35" s="14">
        <v>0.04</v>
      </c>
      <c r="G35" s="30">
        <v>0.04</v>
      </c>
      <c r="H35" s="11"/>
      <c r="I35" s="13"/>
      <c r="J35" s="11"/>
      <c r="K35" s="13"/>
      <c r="L35" s="11"/>
      <c r="M35" s="12"/>
      <c r="N35" s="13"/>
      <c r="O35" s="14">
        <v>0.05</v>
      </c>
      <c r="P35" s="30">
        <v>0.05</v>
      </c>
      <c r="Q35" s="15">
        <v>0.04</v>
      </c>
    </row>
    <row r="36" spans="1:17" x14ac:dyDescent="0.25">
      <c r="A36" s="29" t="s">
        <v>36</v>
      </c>
      <c r="B36" s="19">
        <v>0.05</v>
      </c>
      <c r="C36" s="19">
        <v>0.04</v>
      </c>
      <c r="D36" s="24">
        <v>0.04</v>
      </c>
      <c r="E36" s="23">
        <v>2.5000000000000001E-2</v>
      </c>
      <c r="F36" s="19">
        <v>0.04</v>
      </c>
      <c r="G36" s="24">
        <v>0.04</v>
      </c>
      <c r="H36" s="19">
        <v>6.5000000000000002E-2</v>
      </c>
      <c r="I36" s="24">
        <v>6.5000000000000002E-2</v>
      </c>
      <c r="J36" s="19">
        <v>6.5000000000000002E-2</v>
      </c>
      <c r="K36" s="23">
        <v>6.5000000000000002E-2</v>
      </c>
      <c r="L36" s="20"/>
      <c r="M36" s="21"/>
      <c r="N36" s="22"/>
      <c r="O36" s="20"/>
      <c r="P36" s="21"/>
      <c r="Q36" s="22"/>
    </row>
    <row r="37" spans="1:17" x14ac:dyDescent="0.25">
      <c r="A37" s="29" t="s">
        <v>37</v>
      </c>
      <c r="B37" s="19">
        <v>0.05</v>
      </c>
      <c r="C37" s="19">
        <v>0.04</v>
      </c>
      <c r="D37" s="24">
        <v>0.04</v>
      </c>
      <c r="E37" s="23">
        <v>2.5000000000000001E-2</v>
      </c>
      <c r="F37" s="19">
        <v>0.04</v>
      </c>
      <c r="G37" s="24">
        <v>0.04</v>
      </c>
      <c r="H37" s="19">
        <v>6.5000000000000002E-2</v>
      </c>
      <c r="I37" s="24">
        <v>6.5000000000000002E-2</v>
      </c>
      <c r="J37" s="19">
        <v>6.5000000000000002E-2</v>
      </c>
      <c r="K37" s="23">
        <v>6.5000000000000002E-2</v>
      </c>
      <c r="L37" s="20"/>
      <c r="M37" s="21"/>
      <c r="N37" s="22"/>
      <c r="O37" s="19">
        <v>0.05</v>
      </c>
      <c r="P37" s="24">
        <v>0.05</v>
      </c>
      <c r="Q37" s="23">
        <v>3.5000000000000003E-2</v>
      </c>
    </row>
    <row r="38" spans="1:17" x14ac:dyDescent="0.25">
      <c r="A38" s="29" t="s">
        <v>38</v>
      </c>
      <c r="B38" s="19">
        <v>0.05</v>
      </c>
      <c r="C38" s="19">
        <v>0.04</v>
      </c>
      <c r="D38" s="24">
        <v>0.04</v>
      </c>
      <c r="E38" s="23">
        <v>2.5000000000000001E-2</v>
      </c>
      <c r="F38" s="19">
        <v>0.04</v>
      </c>
      <c r="G38" s="24">
        <v>0.04</v>
      </c>
      <c r="H38" s="20"/>
      <c r="I38" s="22"/>
      <c r="J38" s="20"/>
      <c r="K38" s="22"/>
      <c r="L38" s="19">
        <v>6.5000000000000002E-2</v>
      </c>
      <c r="M38" s="24">
        <v>6.5000000000000002E-2</v>
      </c>
      <c r="N38" s="23">
        <v>0.05</v>
      </c>
      <c r="O38" s="19">
        <v>0.05</v>
      </c>
      <c r="P38" s="24">
        <v>0.05</v>
      </c>
      <c r="Q38" s="23">
        <v>3.5000000000000003E-2</v>
      </c>
    </row>
    <row r="39" spans="1:17" x14ac:dyDescent="0.25">
      <c r="A39" s="29" t="s">
        <v>39</v>
      </c>
      <c r="B39" s="19">
        <v>0.05</v>
      </c>
      <c r="C39" s="19">
        <v>0.04</v>
      </c>
      <c r="D39" s="24">
        <v>0.04</v>
      </c>
      <c r="E39" s="23">
        <v>2.5000000000000001E-2</v>
      </c>
      <c r="F39" s="19">
        <v>0.04</v>
      </c>
      <c r="G39" s="24">
        <v>0.04</v>
      </c>
      <c r="H39" s="19">
        <v>7.0000000000000007E-2</v>
      </c>
      <c r="I39" s="24">
        <v>6.5000000000000002E-2</v>
      </c>
      <c r="J39" s="19">
        <v>7.0000000000000007E-2</v>
      </c>
      <c r="K39" s="23">
        <v>7.0000000000000007E-2</v>
      </c>
      <c r="L39" s="19">
        <v>6.5000000000000002E-2</v>
      </c>
      <c r="M39" s="24">
        <v>6.5000000000000002E-2</v>
      </c>
      <c r="N39" s="23">
        <v>0.05</v>
      </c>
      <c r="O39" s="19">
        <v>0.05</v>
      </c>
      <c r="P39" s="24">
        <v>0.05</v>
      </c>
      <c r="Q39" s="23">
        <v>0.04</v>
      </c>
    </row>
    <row r="40" spans="1:17" ht="15.75" thickBot="1" x14ac:dyDescent="0.3">
      <c r="A40" s="29" t="s">
        <v>40</v>
      </c>
      <c r="B40" s="20"/>
      <c r="C40" s="20"/>
      <c r="D40" s="21"/>
      <c r="E40" s="22"/>
      <c r="F40" s="20"/>
      <c r="G40" s="21"/>
      <c r="H40" s="20"/>
      <c r="I40" s="21"/>
      <c r="J40" s="20"/>
      <c r="K40" s="22"/>
      <c r="L40" s="19">
        <v>7.0000000000000007E-2</v>
      </c>
      <c r="M40" s="24">
        <v>7.0000000000000007E-2</v>
      </c>
      <c r="N40" s="23">
        <v>0.05</v>
      </c>
      <c r="O40" s="20"/>
      <c r="P40" s="21"/>
      <c r="Q40" s="22"/>
    </row>
    <row r="41" spans="1:17" ht="15.75" thickBot="1" x14ac:dyDescent="0.3">
      <c r="A41" s="25" t="s">
        <v>41</v>
      </c>
      <c r="B41" s="7">
        <f>SUM(B42:B44)</f>
        <v>0.2</v>
      </c>
      <c r="C41" s="7">
        <f>SUM(C42:C44)</f>
        <v>0.15000000000000002</v>
      </c>
      <c r="D41" s="8">
        <f t="shared" ref="D41:Q41" si="6">SUM(D42:D44)</f>
        <v>0.15000000000000002</v>
      </c>
      <c r="E41" s="9">
        <f t="shared" si="6"/>
        <v>0.15000000000000002</v>
      </c>
      <c r="F41" s="7">
        <f t="shared" si="6"/>
        <v>0.15000000000000002</v>
      </c>
      <c r="G41" s="9">
        <f t="shared" si="6"/>
        <v>0.15000000000000002</v>
      </c>
      <c r="H41" s="7">
        <f t="shared" si="6"/>
        <v>0.1</v>
      </c>
      <c r="I41" s="9">
        <f t="shared" si="6"/>
        <v>0.1</v>
      </c>
      <c r="J41" s="7">
        <f t="shared" si="6"/>
        <v>0.1</v>
      </c>
      <c r="K41" s="9">
        <f t="shared" si="6"/>
        <v>0.1</v>
      </c>
      <c r="L41" s="7">
        <f t="shared" si="6"/>
        <v>0.1</v>
      </c>
      <c r="M41" s="8">
        <f t="shared" si="6"/>
        <v>0.1</v>
      </c>
      <c r="N41" s="9">
        <f t="shared" si="6"/>
        <v>0.1</v>
      </c>
      <c r="O41" s="7">
        <f t="shared" si="6"/>
        <v>0.1</v>
      </c>
      <c r="P41" s="8">
        <f t="shared" si="6"/>
        <v>0.1</v>
      </c>
      <c r="Q41" s="9">
        <f t="shared" si="6"/>
        <v>0.1</v>
      </c>
    </row>
    <row r="42" spans="1:17" x14ac:dyDescent="0.25">
      <c r="A42" s="10" t="s">
        <v>42</v>
      </c>
      <c r="B42" s="11"/>
      <c r="C42" s="14">
        <v>0.05</v>
      </c>
      <c r="D42" s="30">
        <v>0.05</v>
      </c>
      <c r="E42" s="15">
        <v>0.05</v>
      </c>
      <c r="F42" s="14">
        <v>0.05</v>
      </c>
      <c r="G42" s="15">
        <v>0.05</v>
      </c>
      <c r="H42" s="11"/>
      <c r="I42" s="13"/>
      <c r="J42" s="11"/>
      <c r="K42" s="13"/>
      <c r="L42" s="11"/>
      <c r="M42" s="12"/>
      <c r="N42" s="13"/>
      <c r="O42" s="11"/>
      <c r="P42" s="12"/>
      <c r="Q42" s="13"/>
    </row>
    <row r="43" spans="1:17" x14ac:dyDescent="0.25">
      <c r="A43" s="29" t="s">
        <v>43</v>
      </c>
      <c r="B43" s="19">
        <v>0.15</v>
      </c>
      <c r="C43" s="19">
        <v>0.1</v>
      </c>
      <c r="D43" s="24">
        <v>0.1</v>
      </c>
      <c r="E43" s="23">
        <v>0.1</v>
      </c>
      <c r="F43" s="19">
        <v>0.1</v>
      </c>
      <c r="G43" s="24">
        <v>0.1</v>
      </c>
      <c r="H43" s="20">
        <v>0.1</v>
      </c>
      <c r="I43" s="22">
        <v>0.1</v>
      </c>
      <c r="J43" s="20">
        <v>0.1</v>
      </c>
      <c r="K43" s="22">
        <v>0.1</v>
      </c>
      <c r="L43" s="19">
        <v>0.1</v>
      </c>
      <c r="M43" s="24">
        <v>0.1</v>
      </c>
      <c r="N43" s="23">
        <v>0.1</v>
      </c>
      <c r="O43" s="19">
        <v>0.1</v>
      </c>
      <c r="P43" s="24">
        <v>0.1</v>
      </c>
      <c r="Q43" s="23">
        <v>0.1</v>
      </c>
    </row>
    <row r="44" spans="1:17" ht="15.75" thickBot="1" x14ac:dyDescent="0.3">
      <c r="A44" s="29" t="str">
        <f>'[1]CM GERI Off'!A38</f>
        <v>ISHARES USD TREASURY  BOND 20+yr UCITS ETF (DTLA LN)</v>
      </c>
      <c r="B44" s="19">
        <v>0.05</v>
      </c>
      <c r="C44" s="19">
        <v>0</v>
      </c>
      <c r="D44" s="24">
        <v>0</v>
      </c>
      <c r="E44" s="23">
        <v>0</v>
      </c>
      <c r="F44" s="19">
        <v>0</v>
      </c>
      <c r="G44" s="24">
        <v>0</v>
      </c>
      <c r="H44" s="20">
        <v>0</v>
      </c>
      <c r="I44" s="22">
        <v>0</v>
      </c>
      <c r="J44" s="20">
        <v>0</v>
      </c>
      <c r="K44" s="22">
        <v>0</v>
      </c>
      <c r="L44" s="19">
        <v>0</v>
      </c>
      <c r="M44" s="24">
        <v>0</v>
      </c>
      <c r="N44" s="23">
        <v>0</v>
      </c>
      <c r="O44" s="19">
        <v>0</v>
      </c>
      <c r="P44" s="24">
        <v>0</v>
      </c>
      <c r="Q44" s="23">
        <v>0</v>
      </c>
    </row>
    <row r="45" spans="1:17" ht="15.75" thickBot="1" x14ac:dyDescent="0.3">
      <c r="A45" s="25" t="s">
        <v>44</v>
      </c>
      <c r="B45" s="7">
        <f t="shared" ref="B45:Q45" si="7">SUM(B46:B46)</f>
        <v>0</v>
      </c>
      <c r="C45" s="7">
        <f t="shared" si="7"/>
        <v>0</v>
      </c>
      <c r="D45" s="8">
        <f t="shared" si="7"/>
        <v>0</v>
      </c>
      <c r="E45" s="9">
        <f t="shared" si="7"/>
        <v>0</v>
      </c>
      <c r="F45" s="7">
        <f t="shared" si="7"/>
        <v>0</v>
      </c>
      <c r="G45" s="9">
        <f t="shared" si="7"/>
        <v>0</v>
      </c>
      <c r="H45" s="7">
        <f t="shared" si="7"/>
        <v>0</v>
      </c>
      <c r="I45" s="9">
        <f t="shared" si="7"/>
        <v>0</v>
      </c>
      <c r="J45" s="7">
        <f t="shared" si="7"/>
        <v>0</v>
      </c>
      <c r="K45" s="9">
        <f t="shared" si="7"/>
        <v>0</v>
      </c>
      <c r="L45" s="7">
        <f t="shared" si="7"/>
        <v>0</v>
      </c>
      <c r="M45" s="8">
        <f t="shared" si="7"/>
        <v>0</v>
      </c>
      <c r="N45" s="9">
        <f t="shared" si="7"/>
        <v>0</v>
      </c>
      <c r="O45" s="7">
        <f t="shared" si="7"/>
        <v>0</v>
      </c>
      <c r="P45" s="8">
        <f t="shared" si="7"/>
        <v>0</v>
      </c>
      <c r="Q45" s="9">
        <f t="shared" si="7"/>
        <v>0</v>
      </c>
    </row>
    <row r="46" spans="1:17" ht="15.75" thickBot="1" x14ac:dyDescent="0.3">
      <c r="A46" s="10" t="str">
        <f>'[1]CM GERI Off'!A40</f>
        <v>GENERIC PUT</v>
      </c>
      <c r="B46" s="11"/>
      <c r="C46" s="14">
        <v>0</v>
      </c>
      <c r="D46" s="30">
        <v>0</v>
      </c>
      <c r="E46" s="15">
        <v>0</v>
      </c>
      <c r="F46" s="14">
        <v>0</v>
      </c>
      <c r="G46" s="30">
        <v>0</v>
      </c>
      <c r="H46" s="14">
        <v>0</v>
      </c>
      <c r="I46" s="30">
        <v>0</v>
      </c>
      <c r="J46" s="14">
        <v>0</v>
      </c>
      <c r="K46" s="15">
        <v>0</v>
      </c>
      <c r="L46" s="14">
        <v>0</v>
      </c>
      <c r="M46" s="30">
        <v>0</v>
      </c>
      <c r="N46" s="15">
        <v>0</v>
      </c>
      <c r="O46" s="14">
        <v>0</v>
      </c>
      <c r="P46" s="30">
        <v>0</v>
      </c>
      <c r="Q46" s="15">
        <v>0</v>
      </c>
    </row>
    <row r="47" spans="1:17" ht="15.75" thickBot="1" x14ac:dyDescent="0.3">
      <c r="A47" s="25" t="s">
        <v>45</v>
      </c>
      <c r="B47" s="7">
        <f t="shared" ref="B47:Q47" si="8">SUM(B48:B48)</f>
        <v>0.19999999999999996</v>
      </c>
      <c r="C47" s="7">
        <f t="shared" si="8"/>
        <v>0.27499999999999991</v>
      </c>
      <c r="D47" s="8">
        <f t="shared" si="8"/>
        <v>0.19999999999999996</v>
      </c>
      <c r="E47" s="9">
        <f t="shared" si="8"/>
        <v>0.12499999999999989</v>
      </c>
      <c r="F47" s="7">
        <f t="shared" si="8"/>
        <v>0.22499999999999987</v>
      </c>
      <c r="G47" s="9">
        <f t="shared" si="8"/>
        <v>0.1399999999999999</v>
      </c>
      <c r="H47" s="7">
        <f t="shared" si="8"/>
        <v>0.32499999999999996</v>
      </c>
      <c r="I47" s="9">
        <f t="shared" si="8"/>
        <v>0.25499999999999989</v>
      </c>
      <c r="J47" s="7">
        <f t="shared" si="8"/>
        <v>0.32499999999999996</v>
      </c>
      <c r="K47" s="9">
        <f t="shared" si="8"/>
        <v>0.24499999999999988</v>
      </c>
      <c r="L47" s="7">
        <f t="shared" si="8"/>
        <v>0.32499999999999996</v>
      </c>
      <c r="M47" s="8">
        <f t="shared" si="8"/>
        <v>0.25</v>
      </c>
      <c r="N47" s="9">
        <f t="shared" si="8"/>
        <v>0.14999999999999991</v>
      </c>
      <c r="O47" s="7">
        <f t="shared" si="8"/>
        <v>0.32499999999999996</v>
      </c>
      <c r="P47" s="8">
        <f t="shared" si="8"/>
        <v>0.25</v>
      </c>
      <c r="Q47" s="9">
        <f t="shared" si="8"/>
        <v>0.14999999999999991</v>
      </c>
    </row>
    <row r="48" spans="1:17" x14ac:dyDescent="0.25">
      <c r="A48" s="10" t="s">
        <v>46</v>
      </c>
      <c r="B48" s="14">
        <f t="shared" ref="B48:Q48" si="9">100%-SUM(B45,B41,B34,B24,B18,B2)</f>
        <v>0.19999999999999996</v>
      </c>
      <c r="C48" s="14">
        <f t="shared" si="9"/>
        <v>0.27499999999999991</v>
      </c>
      <c r="D48" s="30">
        <f t="shared" si="9"/>
        <v>0.19999999999999996</v>
      </c>
      <c r="E48" s="15">
        <f t="shared" si="9"/>
        <v>0.12499999999999989</v>
      </c>
      <c r="F48" s="14">
        <f t="shared" si="9"/>
        <v>0.22499999999999987</v>
      </c>
      <c r="G48" s="15">
        <f t="shared" si="9"/>
        <v>0.1399999999999999</v>
      </c>
      <c r="H48" s="14">
        <f t="shared" si="9"/>
        <v>0.32499999999999996</v>
      </c>
      <c r="I48" s="15">
        <f t="shared" si="9"/>
        <v>0.25499999999999989</v>
      </c>
      <c r="J48" s="14">
        <f t="shared" si="9"/>
        <v>0.32499999999999996</v>
      </c>
      <c r="K48" s="15">
        <f t="shared" si="9"/>
        <v>0.24499999999999988</v>
      </c>
      <c r="L48" s="14">
        <f t="shared" si="9"/>
        <v>0.32499999999999996</v>
      </c>
      <c r="M48" s="30">
        <f t="shared" si="9"/>
        <v>0.25</v>
      </c>
      <c r="N48" s="15">
        <f t="shared" si="9"/>
        <v>0.14999999999999991</v>
      </c>
      <c r="O48" s="14">
        <f t="shared" si="9"/>
        <v>0.32499999999999996</v>
      </c>
      <c r="P48" s="30">
        <f t="shared" si="9"/>
        <v>0.25</v>
      </c>
      <c r="Q48" s="15">
        <f t="shared" si="9"/>
        <v>0.14999999999999991</v>
      </c>
    </row>
    <row r="49" spans="1:17" ht="15.75" thickBot="1" x14ac:dyDescent="0.3">
      <c r="A49" s="36" t="s">
        <v>47</v>
      </c>
      <c r="B49" s="37">
        <f t="shared" ref="B49:Q49" si="10">SUM(B2,B24,B34,B18,B45,B41,B47)</f>
        <v>1</v>
      </c>
      <c r="C49" s="37">
        <f t="shared" si="10"/>
        <v>1</v>
      </c>
      <c r="D49" s="38">
        <f t="shared" si="10"/>
        <v>1</v>
      </c>
      <c r="E49" s="39">
        <f t="shared" si="10"/>
        <v>0.99999999999999989</v>
      </c>
      <c r="F49" s="37">
        <f t="shared" si="10"/>
        <v>1</v>
      </c>
      <c r="G49" s="39">
        <f t="shared" si="10"/>
        <v>1</v>
      </c>
      <c r="H49" s="37">
        <f t="shared" si="10"/>
        <v>1</v>
      </c>
      <c r="I49" s="39">
        <f t="shared" si="10"/>
        <v>0.99999999999999989</v>
      </c>
      <c r="J49" s="37">
        <f t="shared" si="10"/>
        <v>1</v>
      </c>
      <c r="K49" s="39">
        <f t="shared" si="10"/>
        <v>0.99999999999999989</v>
      </c>
      <c r="L49" s="37">
        <f t="shared" si="10"/>
        <v>1</v>
      </c>
      <c r="M49" s="38">
        <f t="shared" si="10"/>
        <v>1</v>
      </c>
      <c r="N49" s="39">
        <f t="shared" si="10"/>
        <v>0.99999999999999989</v>
      </c>
      <c r="O49" s="37">
        <f t="shared" si="10"/>
        <v>1</v>
      </c>
      <c r="P49" s="38">
        <f t="shared" si="10"/>
        <v>1</v>
      </c>
      <c r="Q49" s="39">
        <f t="shared" si="10"/>
        <v>0.99999999999999989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Balbino</dc:creator>
  <cp:lastModifiedBy>Guilherme Balbino</cp:lastModifiedBy>
  <dcterms:created xsi:type="dcterms:W3CDTF">2026-08-03T21:41:41Z</dcterms:created>
  <dcterms:modified xsi:type="dcterms:W3CDTF">2026-08-03T21:42:34Z</dcterms:modified>
</cp:coreProperties>
</file>